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Construction Audit MVP</author>
  </authors>
  <commentList>
    <comment ref="F2" authorId="0" shapeId="0">
      <text>
        <t>Источник цены: mcp_construction_prices__get_supported_works; MCP work id: wall_priming</t>
      </text>
    </comment>
    <comment ref="F3" authorId="0" shapeId="0">
      <text>
        <t>Источник цены: mcp_construction_prices__get_supported_works; MCP work id: wall_painting</t>
      </text>
    </comment>
    <comment ref="F4" authorId="0" shapeId="0">
      <text>
        <t>Источник цены: mcp_construction_prices__get_supported_works; MCP work id: floor_installation</t>
      </text>
    </comment>
    <comment ref="F5" authorId="0" shapeId="0">
      <text>
        <t>Источник цены: mcp_construction_prices__get_supported_works; MCP work id: ceiling_finishing</t>
      </text>
    </comment>
    <comment ref="F6" authorId="0" shapeId="0">
      <text>
        <t>Источник цены: mcp_construction_prices__get_supported_works; MCP work id: baseboard_installation</t>
      </text>
    </comment>
    <comment ref="F7" authorId="0" shapeId="0">
      <text>
        <t>Источник цены: mcp_construction_prices__get_supported_works; MCP work id: window_installation</t>
      </text>
    </comment>
    <comment ref="F8" authorId="0" shapeId="0">
      <text>
        <t>Источник цены: mcp_construction_prices__get_supported_works; MCP work id: wall_priming</t>
      </text>
    </comment>
    <comment ref="F9" authorId="0" shapeId="0">
      <text>
        <t>Источник цены: mcp_construction_prices__get_supported_works; MCP work id: wall_painting</t>
      </text>
    </comment>
    <comment ref="F10" authorId="0" shapeId="0">
      <text>
        <t>Источник цены: mcp_construction_prices__get_supported_works; MCP work id: floor_installation</t>
      </text>
    </comment>
    <comment ref="F11" authorId="0" shapeId="0">
      <text>
        <t>Источник цены: mcp_construction_prices__get_supported_works; MCP work id: ceiling_finishing</t>
      </text>
    </comment>
    <comment ref="F12" authorId="0" shapeId="0">
      <text>
        <t>Источник цены: mcp_construction_prices__get_supported_works; MCP work id: baseboard_installation</t>
      </text>
    </comment>
    <comment ref="F13" authorId="0" shapeId="0">
      <text>
        <t>Источник цены: mcp_construction_prices__get_supported_works; MCP work id: window_installation</t>
      </text>
    </comment>
    <comment ref="F14" authorId="0" shapeId="0">
      <text>
        <t>Источник цены: mcp_construction_prices__get_supported_works; MCP work id: wall_priming</t>
      </text>
    </comment>
    <comment ref="F15" authorId="0" shapeId="0">
      <text>
        <t>Источник цены: mcp_construction_prices__get_supported_works; MCP work id: wall_painting</t>
      </text>
    </comment>
    <comment ref="F16" authorId="0" shapeId="0">
      <text>
        <t>Источник цены: mcp_construction_prices__get_supported_works; MCP work id: floor_installation</t>
      </text>
    </comment>
    <comment ref="F17" authorId="0" shapeId="0">
      <text>
        <t>Источник цены: mcp_construction_prices__get_supported_works; MCP work id: ceiling_finishing</t>
      </text>
    </comment>
    <comment ref="F18" authorId="0" shapeId="0">
      <text>
        <t>Источник цены: mcp_construction_prices__get_supported_works; MCP work id: baseboard_installation</t>
      </text>
    </comment>
    <comment ref="F19" authorId="0" shapeId="0">
      <text>
        <t>Источник цены: mcp_construction_prices__get_supported_works; MCP work id: window_installation</t>
      </text>
    </comment>
    <comment ref="F20" authorId="0" shapeId="0">
      <text>
        <t>Источник цены: mcp_construction_prices__get_supported_works; MCP work id: wall_priming</t>
      </text>
    </comment>
    <comment ref="F21" authorId="0" shapeId="0">
      <text>
        <t>Источник цены: mcp_construction_prices__get_supported_works; MCP work id: wall_painting</t>
      </text>
    </comment>
    <comment ref="F22" authorId="0" shapeId="0">
      <text>
        <t>Источник цены: mcp_construction_prices__get_supported_works; MCP work id: floor_installation</t>
      </text>
    </comment>
    <comment ref="F23" authorId="0" shapeId="0">
      <text>
        <t>Источник цены: mcp_construction_prices__get_supported_works; MCP work id: ceiling_finishing</t>
      </text>
    </comment>
    <comment ref="F24" authorId="0" shapeId="0">
      <text>
        <t>Источник цены: mcp_construction_prices__get_supported_works; MCP work id: baseboard_installation</t>
      </text>
    </comment>
    <comment ref="F25" authorId="0" shapeId="0">
      <text>
        <t>Источник цены: mcp_construction_prices__get_supported_works; MCP work id: window_installation</t>
      </text>
    </comment>
    <comment ref="F26" authorId="0" shapeId="0">
      <text>
        <t>Источник цены: mcp_construction_prices__get_supported_works; MCP work id: wall_priming</t>
      </text>
    </comment>
    <comment ref="F27" authorId="0" shapeId="0">
      <text>
        <t>Источник цены: mcp_construction_prices__get_supported_works; MCP work id: wall_painting</t>
      </text>
    </comment>
    <comment ref="F28" authorId="0" shapeId="0">
      <text>
        <t>Источник цены: mcp_construction_prices__get_supported_works; MCP work id: floor_installation</t>
      </text>
    </comment>
    <comment ref="F29" authorId="0" shapeId="0">
      <text>
        <t>Источник цены: mcp_construction_prices__get_supported_works; MCP work id: ceiling_finishing</t>
      </text>
    </comment>
    <comment ref="F30" authorId="0" shapeId="0">
      <text>
        <t>Источник цены: mcp_construction_prices__get_supported_works; MCP work id: baseboard_installation</t>
      </text>
    </comment>
    <comment ref="F31" authorId="0" shapeId="0">
      <text>
        <t>Источник цены: mcp_construction_prices__get_supported_works; MCP work id: window_installation</t>
      </text>
    </comment>
    <comment ref="F32" authorId="0" shapeId="0">
      <text>
        <t>Источник цены: mcp_construction_prices__get_supported_works; MCP work id: door_installation</t>
      </text>
    </comment>
  </commentList>
</comments>
</file>

<file path=xl/tables/table1.xml><?xml version="1.0" encoding="utf-8"?>
<table xmlns="http://schemas.openxmlformats.org/spreadsheetml/2006/main" id="1" name="GeneratedEstimateTable" displayName="GeneratedEstimateTable" ref="A1:H32" headerRowCount="1">
  <autoFilter ref="A1:H32"/>
  <tableColumns count="8">
    <tableColumn id="1" name="№"/>
    <tableColumn id="2" name="Помещение"/>
    <tableColumn id="3" name="Наименование работы"/>
    <tableColumn id="4" name="Единица"/>
    <tableColumn id="5" name="Количество"/>
    <tableColumn id="6" name="Цена за единицу"/>
    <tableColumn id="7" name="Стоимость"/>
    <tableColumn id="8" name="Примеч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6" customWidth="1" min="3" max="3"/>
    <col width="12" customWidth="1" min="4" max="4"/>
    <col width="14" customWidth="1" min="5" max="5"/>
    <col width="18" customWidth="1" min="6" max="6"/>
    <col width="16" customWidth="1" min="7" max="7"/>
    <col width="34" customWidth="1" min="8" max="8"/>
  </cols>
  <sheetData>
    <row r="1" ht="42.75" customHeight="1">
      <c r="A1" s="1" t="inlineStr">
        <is>
          <t>№</t>
        </is>
      </c>
      <c r="B1" s="1" t="inlineStr">
        <is>
          <t>Помещение</t>
        </is>
      </c>
      <c r="C1" s="1" t="inlineStr">
        <is>
          <t>Наименование работы</t>
        </is>
      </c>
      <c r="D1" s="1" t="inlineStr">
        <is>
          <t>Единица</t>
        </is>
      </c>
      <c r="E1" s="1" t="inlineStr">
        <is>
          <t>Количество</t>
        </is>
      </c>
      <c r="F1" s="1" t="inlineStr">
        <is>
          <t>Цена за единицу</t>
        </is>
      </c>
      <c r="G1" s="1" t="inlineStr">
        <is>
          <t>Стоимость</t>
        </is>
      </c>
      <c r="H1" s="1" t="inlineStr">
        <is>
          <t>Примечание</t>
        </is>
      </c>
    </row>
    <row r="2">
      <c r="A2" s="2" t="n">
        <v>1</v>
      </c>
      <c r="B2" s="2" t="inlineStr">
        <is>
          <t>Кабинет администратора</t>
        </is>
      </c>
      <c r="C2" s="2" t="inlineStr">
        <is>
          <t>Грунтовка стен</t>
        </is>
      </c>
      <c r="D2" s="2" t="inlineStr">
        <is>
          <t>м²</t>
        </is>
      </c>
      <c r="E2" s="3" t="n">
        <v>53.8</v>
      </c>
      <c r="F2" s="3" t="n">
        <v>120</v>
      </c>
      <c r="G2" s="3">
        <f>E2*F2</f>
        <v/>
      </c>
      <c r="H2" s="2" t="inlineStr">
        <is>
          <t>Чистая площадь стен без проёмов</t>
        </is>
      </c>
    </row>
    <row r="3">
      <c r="A3" s="2" t="n">
        <v>2</v>
      </c>
      <c r="B3" s="2" t="inlineStr">
        <is>
          <t>Кабинет администратора</t>
        </is>
      </c>
      <c r="C3" s="2" t="inlineStr">
        <is>
          <t>Окраска стен</t>
        </is>
      </c>
      <c r="D3" s="2" t="inlineStr">
        <is>
          <t>м²</t>
        </is>
      </c>
      <c r="E3" s="3" t="n">
        <v>53.8</v>
      </c>
      <c r="F3" s="3" t="n">
        <v>450</v>
      </c>
      <c r="G3" s="3">
        <f>E3*F3</f>
        <v/>
      </c>
      <c r="H3" s="2" t="inlineStr">
        <is>
          <t>Чистая площадь стен без проёмов</t>
        </is>
      </c>
    </row>
    <row r="4">
      <c r="A4" s="2" t="n">
        <v>3</v>
      </c>
      <c r="B4" s="2" t="inlineStr">
        <is>
          <t>Кабинет администратора</t>
        </is>
      </c>
      <c r="C4" s="2" t="inlineStr">
        <is>
          <t>Устройство пола</t>
        </is>
      </c>
      <c r="D4" s="2" t="inlineStr">
        <is>
          <t>м²</t>
        </is>
      </c>
      <c r="E4" s="3" t="n">
        <v>28.56</v>
      </c>
      <c r="F4" s="3" t="n">
        <v>1700</v>
      </c>
      <c r="G4" s="3">
        <f>E4*F4</f>
        <v/>
      </c>
      <c r="H4" s="2" t="inlineStr">
        <is>
          <t>По площади помещения</t>
        </is>
      </c>
    </row>
    <row r="5">
      <c r="A5" s="2" t="n">
        <v>4</v>
      </c>
      <c r="B5" s="2" t="inlineStr">
        <is>
          <t>Кабинет администратора</t>
        </is>
      </c>
      <c r="C5" s="2" t="inlineStr">
        <is>
          <t>Отделка потолка</t>
        </is>
      </c>
      <c r="D5" s="2" t="inlineStr">
        <is>
          <t>м²</t>
        </is>
      </c>
      <c r="E5" s="3" t="n">
        <v>28.56</v>
      </c>
      <c r="F5" s="3" t="n">
        <v>650</v>
      </c>
      <c r="G5" s="3">
        <f>E5*F5</f>
        <v/>
      </c>
      <c r="H5" s="2" t="inlineStr">
        <is>
          <t>По площади помещения</t>
        </is>
      </c>
    </row>
    <row r="6">
      <c r="A6" s="2" t="n">
        <v>5</v>
      </c>
      <c r="B6" s="2" t="inlineStr">
        <is>
          <t>Кабинет администратора</t>
        </is>
      </c>
      <c r="C6" s="2" t="inlineStr">
        <is>
          <t>Монтаж плинтуса</t>
        </is>
      </c>
      <c r="D6" s="2" t="inlineStr">
        <is>
          <t>м</t>
        </is>
      </c>
      <c r="E6" s="3" t="n">
        <v>19.6</v>
      </c>
      <c r="F6" s="3" t="n">
        <v>350</v>
      </c>
      <c r="G6" s="3">
        <f>E6*F6</f>
        <v/>
      </c>
      <c r="H6" s="2" t="inlineStr">
        <is>
          <t>Периметр минус ширина дверных проёмов</t>
        </is>
      </c>
    </row>
    <row r="7">
      <c r="A7" s="2" t="n">
        <v>6</v>
      </c>
      <c r="B7" s="2" t="inlineStr">
        <is>
          <t>Кабинет администратора</t>
        </is>
      </c>
      <c r="C7" s="2" t="inlineStr">
        <is>
          <t>Установка окон</t>
        </is>
      </c>
      <c r="D7" s="2" t="inlineStr">
        <is>
          <t>шт.</t>
        </is>
      </c>
      <c r="E7" s="3" t="n">
        <v>1</v>
      </c>
      <c r="F7" s="3" t="n">
        <v>9000</v>
      </c>
      <c r="G7" s="3">
        <f>E7*F7</f>
        <v/>
      </c>
      <c r="H7" s="2" t="inlineStr">
        <is>
          <t>По количеству окон помещения</t>
        </is>
      </c>
    </row>
    <row r="8">
      <c r="A8" s="2" t="n">
        <v>7</v>
      </c>
      <c r="B8" s="2" t="inlineStr">
        <is>
          <t>Ресепшен</t>
        </is>
      </c>
      <c r="C8" s="2" t="inlineStr">
        <is>
          <t>Грунтовка стен</t>
        </is>
      </c>
      <c r="D8" s="2" t="inlineStr">
        <is>
          <t>м²</t>
        </is>
      </c>
      <c r="E8" s="3" t="n">
        <v>67.12</v>
      </c>
      <c r="F8" s="3" t="n">
        <v>120</v>
      </c>
      <c r="G8" s="3">
        <f>E8*F8</f>
        <v/>
      </c>
      <c r="H8" s="2" t="inlineStr">
        <is>
          <t>Чистая площадь стен без проёмов</t>
        </is>
      </c>
    </row>
    <row r="9">
      <c r="A9" s="2" t="n">
        <v>8</v>
      </c>
      <c r="B9" s="2" t="inlineStr">
        <is>
          <t>Ресепшен</t>
        </is>
      </c>
      <c r="C9" s="2" t="inlineStr">
        <is>
          <t>Окраска стен</t>
        </is>
      </c>
      <c r="D9" s="2" t="inlineStr">
        <is>
          <t>м²</t>
        </is>
      </c>
      <c r="E9" s="3" t="n">
        <v>67.12</v>
      </c>
      <c r="F9" s="3" t="n">
        <v>450</v>
      </c>
      <c r="G9" s="3">
        <f>E9*F9</f>
        <v/>
      </c>
      <c r="H9" s="2" t="inlineStr">
        <is>
          <t>Чистая площадь стен без проёмов</t>
        </is>
      </c>
    </row>
    <row r="10">
      <c r="A10" s="2" t="n">
        <v>9</v>
      </c>
      <c r="B10" s="2" t="inlineStr">
        <is>
          <t>Ресепшен</t>
        </is>
      </c>
      <c r="C10" s="2" t="inlineStr">
        <is>
          <t>Устройство пола</t>
        </is>
      </c>
      <c r="D10" s="2" t="inlineStr">
        <is>
          <t>м²</t>
        </is>
      </c>
      <c r="E10" s="3" t="n">
        <v>38.64</v>
      </c>
      <c r="F10" s="3" t="n">
        <v>1700</v>
      </c>
      <c r="G10" s="3">
        <f>E10*F10</f>
        <v/>
      </c>
      <c r="H10" s="2" t="inlineStr">
        <is>
          <t>По площади помещения</t>
        </is>
      </c>
    </row>
    <row r="11">
      <c r="A11" s="2" t="n">
        <v>10</v>
      </c>
      <c r="B11" s="2" t="inlineStr">
        <is>
          <t>Ресепшен</t>
        </is>
      </c>
      <c r="C11" s="2" t="inlineStr">
        <is>
          <t>Отделка потолка</t>
        </is>
      </c>
      <c r="D11" s="2" t="inlineStr">
        <is>
          <t>м²</t>
        </is>
      </c>
      <c r="E11" s="3" t="n">
        <v>38.64</v>
      </c>
      <c r="F11" s="3" t="n">
        <v>650</v>
      </c>
      <c r="G11" s="3">
        <f>E11*F11</f>
        <v/>
      </c>
      <c r="H11" s="2" t="inlineStr">
        <is>
          <t>По площади помещения</t>
        </is>
      </c>
    </row>
    <row r="12">
      <c r="A12" s="2" t="n">
        <v>11</v>
      </c>
      <c r="B12" s="2" t="inlineStr">
        <is>
          <t>Ресепшен</t>
        </is>
      </c>
      <c r="C12" s="2" t="inlineStr">
        <is>
          <t>Монтаж плинтуса</t>
        </is>
      </c>
      <c r="D12" s="2" t="inlineStr">
        <is>
          <t>м</t>
        </is>
      </c>
      <c r="E12" s="3" t="n">
        <v>24.1</v>
      </c>
      <c r="F12" s="3" t="n">
        <v>350</v>
      </c>
      <c r="G12" s="3">
        <f>E12*F12</f>
        <v/>
      </c>
      <c r="H12" s="2" t="inlineStr">
        <is>
          <t>Периметр минус ширина дверных проёмов</t>
        </is>
      </c>
    </row>
    <row r="13">
      <c r="A13" s="2" t="n">
        <v>12</v>
      </c>
      <c r="B13" s="2" t="inlineStr">
        <is>
          <t>Ресепшен</t>
        </is>
      </c>
      <c r="C13" s="2" t="inlineStr">
        <is>
          <t>Установка окон</t>
        </is>
      </c>
      <c r="D13" s="2" t="inlineStr">
        <is>
          <t>шт.</t>
        </is>
      </c>
      <c r="E13" s="3" t="n">
        <v>1</v>
      </c>
      <c r="F13" s="3" t="n">
        <v>9000</v>
      </c>
      <c r="G13" s="3">
        <f>E13*F13</f>
        <v/>
      </c>
      <c r="H13" s="2" t="inlineStr">
        <is>
          <t>По количеству окон помещения</t>
        </is>
      </c>
    </row>
    <row r="14">
      <c r="A14" s="2" t="n">
        <v>13</v>
      </c>
      <c r="B14" s="2" t="inlineStr">
        <is>
          <t>Зона ожидания</t>
        </is>
      </c>
      <c r="C14" s="2" t="inlineStr">
        <is>
          <t>Грунтовка стен</t>
        </is>
      </c>
      <c r="D14" s="2" t="inlineStr">
        <is>
          <t>м²</t>
        </is>
      </c>
      <c r="E14" s="3" t="n">
        <v>59.4</v>
      </c>
      <c r="F14" s="3" t="n">
        <v>120</v>
      </c>
      <c r="G14" s="3">
        <f>E14*F14</f>
        <v/>
      </c>
      <c r="H14" s="2" t="inlineStr">
        <is>
          <t>Чистая площадь стен без проёмов</t>
        </is>
      </c>
    </row>
    <row r="15">
      <c r="A15" s="2" t="n">
        <v>14</v>
      </c>
      <c r="B15" s="2" t="inlineStr">
        <is>
          <t>Зона ожидания</t>
        </is>
      </c>
      <c r="C15" s="2" t="inlineStr">
        <is>
          <t>Окраска стен</t>
        </is>
      </c>
      <c r="D15" s="2" t="inlineStr">
        <is>
          <t>м²</t>
        </is>
      </c>
      <c r="E15" s="3" t="n">
        <v>59.4</v>
      </c>
      <c r="F15" s="3" t="n">
        <v>450</v>
      </c>
      <c r="G15" s="3">
        <f>E15*F15</f>
        <v/>
      </c>
      <c r="H15" s="2" t="inlineStr">
        <is>
          <t>Чистая площадь стен без проёмов</t>
        </is>
      </c>
    </row>
    <row r="16">
      <c r="A16" s="2" t="n">
        <v>15</v>
      </c>
      <c r="B16" s="2" t="inlineStr">
        <is>
          <t>Зона ожидания</t>
        </is>
      </c>
      <c r="C16" s="2" t="inlineStr">
        <is>
          <t>Устройство пола</t>
        </is>
      </c>
      <c r="D16" s="2" t="inlineStr">
        <is>
          <t>м²</t>
        </is>
      </c>
      <c r="E16" s="3" t="n">
        <v>34.16</v>
      </c>
      <c r="F16" s="3" t="n">
        <v>1700</v>
      </c>
      <c r="G16" s="3">
        <f>E16*F16</f>
        <v/>
      </c>
      <c r="H16" s="2" t="inlineStr">
        <is>
          <t>По площади помещения</t>
        </is>
      </c>
    </row>
    <row r="17">
      <c r="A17" s="2" t="n">
        <v>16</v>
      </c>
      <c r="B17" s="2" t="inlineStr">
        <is>
          <t>Зона ожидания</t>
        </is>
      </c>
      <c r="C17" s="2" t="inlineStr">
        <is>
          <t>Отделка потолка</t>
        </is>
      </c>
      <c r="D17" s="2" t="inlineStr">
        <is>
          <t>м²</t>
        </is>
      </c>
      <c r="E17" s="3" t="n">
        <v>34.16</v>
      </c>
      <c r="F17" s="3" t="n">
        <v>650</v>
      </c>
      <c r="G17" s="3">
        <f>E17*F17</f>
        <v/>
      </c>
      <c r="H17" s="2" t="inlineStr">
        <is>
          <t>По площади помещения</t>
        </is>
      </c>
    </row>
    <row r="18">
      <c r="A18" s="2" t="n">
        <v>17</v>
      </c>
      <c r="B18" s="2" t="inlineStr">
        <is>
          <t>Зона ожидания</t>
        </is>
      </c>
      <c r="C18" s="2" t="inlineStr">
        <is>
          <t>Монтаж плинтуса</t>
        </is>
      </c>
      <c r="D18" s="2" t="inlineStr">
        <is>
          <t>м</t>
        </is>
      </c>
      <c r="E18" s="3" t="n">
        <v>21.6</v>
      </c>
      <c r="F18" s="3" t="n">
        <v>350</v>
      </c>
      <c r="G18" s="3">
        <f>E18*F18</f>
        <v/>
      </c>
      <c r="H18" s="2" t="inlineStr">
        <is>
          <t>Периметр минус ширина дверных проёмов</t>
        </is>
      </c>
    </row>
    <row r="19">
      <c r="A19" s="2" t="n">
        <v>18</v>
      </c>
      <c r="B19" s="2" t="inlineStr">
        <is>
          <t>Зона ожидания</t>
        </is>
      </c>
      <c r="C19" s="2" t="inlineStr">
        <is>
          <t>Установка окон</t>
        </is>
      </c>
      <c r="D19" s="2" t="inlineStr">
        <is>
          <t>шт.</t>
        </is>
      </c>
      <c r="E19" s="3" t="n">
        <v>1</v>
      </c>
      <c r="F19" s="3" t="n">
        <v>9000</v>
      </c>
      <c r="G19" s="3">
        <f>E19*F19</f>
        <v/>
      </c>
      <c r="H19" s="2" t="inlineStr">
        <is>
          <t>По количеству окон помещения</t>
        </is>
      </c>
    </row>
    <row r="20">
      <c r="A20" s="2" t="n">
        <v>19</v>
      </c>
      <c r="B20" s="2" t="inlineStr">
        <is>
          <t>Кабинет врача 2</t>
        </is>
      </c>
      <c r="C20" s="2" t="inlineStr">
        <is>
          <t>Грунтовка стен</t>
        </is>
      </c>
      <c r="D20" s="2" t="inlineStr">
        <is>
          <t>м²</t>
        </is>
      </c>
      <c r="E20" s="3" t="n">
        <v>54.8</v>
      </c>
      <c r="F20" s="3" t="n">
        <v>120</v>
      </c>
      <c r="G20" s="3">
        <f>E20*F20</f>
        <v/>
      </c>
      <c r="H20" s="2" t="inlineStr">
        <is>
          <t>Чистая площадь стен без проёмов</t>
        </is>
      </c>
    </row>
    <row r="21">
      <c r="A21" s="2" t="n">
        <v>20</v>
      </c>
      <c r="B21" s="2" t="inlineStr">
        <is>
          <t>Кабинет врача 2</t>
        </is>
      </c>
      <c r="C21" s="2" t="inlineStr">
        <is>
          <t>Окраска стен</t>
        </is>
      </c>
      <c r="D21" s="2" t="inlineStr">
        <is>
          <t>м²</t>
        </is>
      </c>
      <c r="E21" s="3" t="n">
        <v>54.8</v>
      </c>
      <c r="F21" s="3" t="n">
        <v>450</v>
      </c>
      <c r="G21" s="3">
        <f>E21*F21</f>
        <v/>
      </c>
      <c r="H21" s="2" t="inlineStr">
        <is>
          <t>Чистая площадь стен без проёмов</t>
        </is>
      </c>
    </row>
    <row r="22">
      <c r="A22" s="2" t="n">
        <v>21</v>
      </c>
      <c r="B22" s="2" t="inlineStr">
        <is>
          <t>Кабинет врача 2</t>
        </is>
      </c>
      <c r="C22" s="2" t="inlineStr">
        <is>
          <t>Устройство пола</t>
        </is>
      </c>
      <c r="D22" s="2" t="inlineStr">
        <is>
          <t>м²</t>
        </is>
      </c>
      <c r="E22" s="3" t="n">
        <v>29.4</v>
      </c>
      <c r="F22" s="3" t="n">
        <v>1700</v>
      </c>
      <c r="G22" s="3">
        <f>E22*F22</f>
        <v/>
      </c>
      <c r="H22" s="2" t="inlineStr">
        <is>
          <t>По площади помещения</t>
        </is>
      </c>
    </row>
    <row r="23">
      <c r="A23" s="2" t="n">
        <v>22</v>
      </c>
      <c r="B23" s="2" t="inlineStr">
        <is>
          <t>Кабинет врача 2</t>
        </is>
      </c>
      <c r="C23" s="2" t="inlineStr">
        <is>
          <t>Отделка потолка</t>
        </is>
      </c>
      <c r="D23" s="2" t="inlineStr">
        <is>
          <t>м²</t>
        </is>
      </c>
      <c r="E23" s="3" t="n">
        <v>29.4</v>
      </c>
      <c r="F23" s="3" t="n">
        <v>650</v>
      </c>
      <c r="G23" s="3">
        <f>E23*F23</f>
        <v/>
      </c>
      <c r="H23" s="2" t="inlineStr">
        <is>
          <t>По площади помещения</t>
        </is>
      </c>
    </row>
    <row r="24">
      <c r="A24" s="2" t="n">
        <v>23</v>
      </c>
      <c r="B24" s="2" t="inlineStr">
        <is>
          <t>Кабинет врача 2</t>
        </is>
      </c>
      <c r="C24" s="2" t="inlineStr">
        <is>
          <t>Монтаж плинтуса</t>
        </is>
      </c>
      <c r="D24" s="2" t="inlineStr">
        <is>
          <t>м</t>
        </is>
      </c>
      <c r="E24" s="3" t="n">
        <v>19.7</v>
      </c>
      <c r="F24" s="3" t="n">
        <v>350</v>
      </c>
      <c r="G24" s="3">
        <f>E24*F24</f>
        <v/>
      </c>
      <c r="H24" s="2" t="inlineStr">
        <is>
          <t>Периметр минус ширина дверных проёмов</t>
        </is>
      </c>
    </row>
    <row r="25">
      <c r="A25" s="2" t="n">
        <v>24</v>
      </c>
      <c r="B25" s="2" t="inlineStr">
        <is>
          <t>Кабинет врача 2</t>
        </is>
      </c>
      <c r="C25" s="2" t="inlineStr">
        <is>
          <t>Установка окон</t>
        </is>
      </c>
      <c r="D25" s="2" t="inlineStr">
        <is>
          <t>шт.</t>
        </is>
      </c>
      <c r="E25" s="3" t="n">
        <v>1</v>
      </c>
      <c r="F25" s="3" t="n">
        <v>9000</v>
      </c>
      <c r="G25" s="3">
        <f>E25*F25</f>
        <v/>
      </c>
      <c r="H25" s="2" t="inlineStr">
        <is>
          <t>По количеству окон помещения</t>
        </is>
      </c>
    </row>
    <row r="26">
      <c r="A26" s="2" t="n">
        <v>25</v>
      </c>
      <c r="B26" s="2" t="inlineStr">
        <is>
          <t>Кабинет врача 1</t>
        </is>
      </c>
      <c r="C26" s="2" t="inlineStr">
        <is>
          <t>Грунтовка стен</t>
        </is>
      </c>
      <c r="D26" s="2" t="inlineStr">
        <is>
          <t>м²</t>
        </is>
      </c>
      <c r="E26" s="3" t="n">
        <v>59.96</v>
      </c>
      <c r="F26" s="3" t="n">
        <v>120</v>
      </c>
      <c r="G26" s="3">
        <f>E26*F26</f>
        <v/>
      </c>
      <c r="H26" s="2" t="inlineStr">
        <is>
          <t>Чистая площадь стен без проёмов</t>
        </is>
      </c>
    </row>
    <row r="27">
      <c r="A27" s="2" t="n">
        <v>26</v>
      </c>
      <c r="B27" s="2" t="inlineStr">
        <is>
          <t>Кабинет врача 1</t>
        </is>
      </c>
      <c r="C27" s="2" t="inlineStr">
        <is>
          <t>Окраска стен</t>
        </is>
      </c>
      <c r="D27" s="2" t="inlineStr">
        <is>
          <t>м²</t>
        </is>
      </c>
      <c r="E27" s="3" t="n">
        <v>59.96</v>
      </c>
      <c r="F27" s="3" t="n">
        <v>450</v>
      </c>
      <c r="G27" s="3">
        <f>E27*F27</f>
        <v/>
      </c>
      <c r="H27" s="2" t="inlineStr">
        <is>
          <t>Чистая площадь стен без проёмов</t>
        </is>
      </c>
    </row>
    <row r="28">
      <c r="A28" s="2" t="n">
        <v>27</v>
      </c>
      <c r="B28" s="2" t="inlineStr">
        <is>
          <t>Кабинет врача 1</t>
        </is>
      </c>
      <c r="C28" s="2" t="inlineStr">
        <is>
          <t>Устройство пола</t>
        </is>
      </c>
      <c r="D28" s="2" t="inlineStr">
        <is>
          <t>м²</t>
        </is>
      </c>
      <c r="E28" s="3" t="n">
        <v>33.6</v>
      </c>
      <c r="F28" s="3" t="n">
        <v>1700</v>
      </c>
      <c r="G28" s="3">
        <f>E28*F28</f>
        <v/>
      </c>
      <c r="H28" s="2" t="inlineStr">
        <is>
          <t>По площади помещения</t>
        </is>
      </c>
    </row>
    <row r="29">
      <c r="A29" s="2" t="n">
        <v>28</v>
      </c>
      <c r="B29" s="2" t="inlineStr">
        <is>
          <t>Кабинет врача 1</t>
        </is>
      </c>
      <c r="C29" s="2" t="inlineStr">
        <is>
          <t>Отделка потолка</t>
        </is>
      </c>
      <c r="D29" s="2" t="inlineStr">
        <is>
          <t>м²</t>
        </is>
      </c>
      <c r="E29" s="3" t="n">
        <v>33.6</v>
      </c>
      <c r="F29" s="3" t="n">
        <v>650</v>
      </c>
      <c r="G29" s="3">
        <f>E29*F29</f>
        <v/>
      </c>
      <c r="H29" s="2" t="inlineStr">
        <is>
          <t>По площади помещения</t>
        </is>
      </c>
    </row>
    <row r="30">
      <c r="A30" s="2" t="n">
        <v>29</v>
      </c>
      <c r="B30" s="2" t="inlineStr">
        <is>
          <t>Кабинет врача 1</t>
        </is>
      </c>
      <c r="C30" s="2" t="inlineStr">
        <is>
          <t>Монтаж плинтуса</t>
        </is>
      </c>
      <c r="D30" s="2" t="inlineStr">
        <is>
          <t>м</t>
        </is>
      </c>
      <c r="E30" s="3" t="n">
        <v>21.8</v>
      </c>
      <c r="F30" s="3" t="n">
        <v>350</v>
      </c>
      <c r="G30" s="3">
        <f>E30*F30</f>
        <v/>
      </c>
      <c r="H30" s="2" t="inlineStr">
        <is>
          <t>Периметр минус ширина дверных проёмов</t>
        </is>
      </c>
    </row>
    <row r="31">
      <c r="A31" s="2" t="n">
        <v>30</v>
      </c>
      <c r="B31" s="2" t="inlineStr">
        <is>
          <t>Кабинет врача 1</t>
        </is>
      </c>
      <c r="C31" s="2" t="inlineStr">
        <is>
          <t>Установка окон</t>
        </is>
      </c>
      <c r="D31" s="2" t="inlineStr">
        <is>
          <t>шт.</t>
        </is>
      </c>
      <c r="E31" s="3" t="n">
        <v>1</v>
      </c>
      <c r="F31" s="3" t="n">
        <v>9000</v>
      </c>
      <c r="G31" s="3">
        <f>E31*F31</f>
        <v/>
      </c>
      <c r="H31" s="2" t="inlineStr">
        <is>
          <t>По количеству окон помещения</t>
        </is>
      </c>
    </row>
    <row r="32">
      <c r="A32" s="2" t="n">
        <v>31</v>
      </c>
      <c r="B32" s="2" t="inlineStr">
        <is>
          <t>Весь объект</t>
        </is>
      </c>
      <c r="C32" s="2" t="inlineStr">
        <is>
          <t>Установка дверей</t>
        </is>
      </c>
      <c r="D32" s="2" t="inlineStr">
        <is>
          <t>шт.</t>
        </is>
      </c>
      <c r="E32" s="3" t="n">
        <v>6</v>
      </c>
      <c r="F32" s="3" t="n">
        <v>7000</v>
      </c>
      <c r="G32" s="3">
        <f>E32*F32</f>
        <v/>
      </c>
      <c r="H32" s="2" t="inlineStr">
        <is>
          <t>Уникальные двери по всему объекту</t>
        </is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2026-07-19T09:13:09Z</dcterms:created>
  <dcterms:modified xmlns:dcterms="http://purl.org/dc/terms/" xmlns:xsi="http://www.w3.org/2001/XMLSchema-instance" xsi:type="dcterms:W3CDTF">2026-07-19T09:13:09Z</dcterms:modified>
</cp:coreProperties>
</file>