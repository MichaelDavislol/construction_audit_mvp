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wall_priming</t>
      </text>
    </comment>
    <comment ref="F33" authorId="0" shapeId="0">
      <text>
        <t>Источник цены: mcp_construction_prices__get_supported_works; MCP work id: wall_painting</t>
      </text>
    </comment>
    <comment ref="F34" authorId="0" shapeId="0">
      <text>
        <t>Источник цены: mcp_construction_prices__get_supported_works; MCP work id: floor_installation</t>
      </text>
    </comment>
    <comment ref="F35" authorId="0" shapeId="0">
      <text>
        <t>Источник цены: mcp_construction_prices__get_supported_works; MCP work id: ceiling_finishing</t>
      </text>
    </comment>
    <comment ref="F36" authorId="0" shapeId="0">
      <text>
        <t>Источник цены: mcp_construction_prices__get_supported_works; MCP work id: baseboard_installation</t>
      </text>
    </comment>
    <comment ref="F37" authorId="0" shapeId="0">
      <text>
        <t>Источник цены: mcp_construction_prices__get_supported_works; MCP work id: window_installation</t>
      </text>
    </comment>
    <comment ref="F38" authorId="0" shapeId="0">
      <text>
        <t>Источник цены: mcp_construction_prices__get_supported_works; MCP work id: wall_priming</t>
      </text>
    </comment>
    <comment ref="F39" authorId="0" shapeId="0">
      <text>
        <t>Источник цены: mcp_construction_prices__get_supported_works; MCP work id: wall_painting</t>
      </text>
    </comment>
    <comment ref="F40" authorId="0" shapeId="0">
      <text>
        <t>Источник цены: mcp_construction_prices__get_supported_works; MCP work id: floor_installation</t>
      </text>
    </comment>
    <comment ref="F41" authorId="0" shapeId="0">
      <text>
        <t>Источник цены: mcp_construction_prices__get_supported_works; MCP work id: ceiling_finishing</t>
      </text>
    </comment>
    <comment ref="F42" authorId="0" shapeId="0">
      <text>
        <t>Источник цены: mcp_construction_prices__get_supported_works; MCP work id: baseboard_installation</t>
      </text>
    </comment>
    <comment ref="F43" authorId="0" shapeId="0">
      <text>
        <t>Источник цены: mcp_construction_prices__get_supported_works; MCP work id: window_installation</t>
      </text>
    </comment>
    <comment ref="F44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44" headerRowCount="1">
  <autoFilter ref="A1:H44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Подсобное помещение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44.7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Подсобное помещение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44.7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Подсобное помещение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19.04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Подсобное помещение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19.04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Подсобное помещение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16.2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Подсобное помещение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Торговый зал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53.12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Торговый зал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53.12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Торговый зал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29.68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Торговый зал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29.68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Торговый зал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19.1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Торговый зал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Примерочная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38.12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Примерочная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38.12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Примерочная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11.76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Примерочная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11.76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Примерочная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13.6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Примерочная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Кассовая зона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47.2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Кассовая зона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47.2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Кассовая зона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20.16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Кассовая зона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20.16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Кассовая зона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17.5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Кассовая зона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Офис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32.4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Офис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32.4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Офис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12.48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Офис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12.48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Офис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11.5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Офис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Склад</t>
        </is>
      </c>
      <c r="C32" s="2" t="inlineStr">
        <is>
          <t>Грунтовка стен</t>
        </is>
      </c>
      <c r="D32" s="2" t="inlineStr">
        <is>
          <t>м²</t>
        </is>
      </c>
      <c r="E32" s="3" t="n">
        <v>43.72</v>
      </c>
      <c r="F32" s="3" t="n">
        <v>120</v>
      </c>
      <c r="G32" s="3">
        <f>E32*F32</f>
        <v/>
      </c>
      <c r="H32" s="2" t="inlineStr">
        <is>
          <t>Чистая площадь стен без проёмов</t>
        </is>
      </c>
    </row>
    <row r="33">
      <c r="A33" s="2" t="n">
        <v>32</v>
      </c>
      <c r="B33" s="2" t="inlineStr">
        <is>
          <t>Склад</t>
        </is>
      </c>
      <c r="C33" s="2" t="inlineStr">
        <is>
          <t>Окраска стен</t>
        </is>
      </c>
      <c r="D33" s="2" t="inlineStr">
        <is>
          <t>м²</t>
        </is>
      </c>
      <c r="E33" s="3" t="n">
        <v>43.72</v>
      </c>
      <c r="F33" s="3" t="n">
        <v>450</v>
      </c>
      <c r="G33" s="3">
        <f>E33*F33</f>
        <v/>
      </c>
      <c r="H33" s="2" t="inlineStr">
        <is>
          <t>Чистая площадь стен без проёмов</t>
        </is>
      </c>
    </row>
    <row r="34">
      <c r="A34" s="2" t="n">
        <v>33</v>
      </c>
      <c r="B34" s="2" t="inlineStr">
        <is>
          <t>Склад</t>
        </is>
      </c>
      <c r="C34" s="2" t="inlineStr">
        <is>
          <t>Устройство пола</t>
        </is>
      </c>
      <c r="D34" s="2" t="inlineStr">
        <is>
          <t>м²</t>
        </is>
      </c>
      <c r="E34" s="3" t="n">
        <v>19.6</v>
      </c>
      <c r="F34" s="3" t="n">
        <v>1700</v>
      </c>
      <c r="G34" s="3">
        <f>E34*F34</f>
        <v/>
      </c>
      <c r="H34" s="2" t="inlineStr">
        <is>
          <t>По площади помещения</t>
        </is>
      </c>
    </row>
    <row r="35">
      <c r="A35" s="2" t="n">
        <v>34</v>
      </c>
      <c r="B35" s="2" t="inlineStr">
        <is>
          <t>Склад</t>
        </is>
      </c>
      <c r="C35" s="2" t="inlineStr">
        <is>
          <t>Отделка потолка</t>
        </is>
      </c>
      <c r="D35" s="2" t="inlineStr">
        <is>
          <t>м²</t>
        </is>
      </c>
      <c r="E35" s="3" t="n">
        <v>19.6</v>
      </c>
      <c r="F35" s="3" t="n">
        <v>650</v>
      </c>
      <c r="G35" s="3">
        <f>E35*F35</f>
        <v/>
      </c>
      <c r="H35" s="2" t="inlineStr">
        <is>
          <t>По площади помещения</t>
        </is>
      </c>
    </row>
    <row r="36">
      <c r="A36" s="2" t="n">
        <v>35</v>
      </c>
      <c r="B36" s="2" t="inlineStr">
        <is>
          <t>Склад</t>
        </is>
      </c>
      <c r="C36" s="2" t="inlineStr">
        <is>
          <t>Монтаж плинтуса</t>
        </is>
      </c>
      <c r="D36" s="2" t="inlineStr">
        <is>
          <t>м</t>
        </is>
      </c>
      <c r="E36" s="3" t="n">
        <v>15.7</v>
      </c>
      <c r="F36" s="3" t="n">
        <v>350</v>
      </c>
      <c r="G36" s="3">
        <f>E36*F36</f>
        <v/>
      </c>
      <c r="H36" s="2" t="inlineStr">
        <is>
          <t>Периметр минус ширина дверных проёмов</t>
        </is>
      </c>
    </row>
    <row r="37">
      <c r="A37" s="2" t="n">
        <v>36</v>
      </c>
      <c r="B37" s="2" t="inlineStr">
        <is>
          <t>Склад</t>
        </is>
      </c>
      <c r="C37" s="2" t="inlineStr">
        <is>
          <t>Установка окон</t>
        </is>
      </c>
      <c r="D37" s="2" t="inlineStr">
        <is>
          <t>шт.</t>
        </is>
      </c>
      <c r="E37" s="3" t="n">
        <v>1</v>
      </c>
      <c r="F37" s="3" t="n">
        <v>9000</v>
      </c>
      <c r="G37" s="3">
        <f>E37*F37</f>
        <v/>
      </c>
      <c r="H37" s="2" t="inlineStr">
        <is>
          <t>По количеству окон помещения</t>
        </is>
      </c>
    </row>
    <row r="38">
      <c r="A38" s="2" t="n">
        <v>37</v>
      </c>
      <c r="B38" s="2" t="inlineStr">
        <is>
          <t>Зона выдачи</t>
        </is>
      </c>
      <c r="C38" s="2" t="inlineStr">
        <is>
          <t>Грунтовка стен</t>
        </is>
      </c>
      <c r="D38" s="2" t="inlineStr">
        <is>
          <t>м²</t>
        </is>
      </c>
      <c r="E38" s="3" t="n">
        <v>29.56</v>
      </c>
      <c r="F38" s="3" t="n">
        <v>120</v>
      </c>
      <c r="G38" s="3">
        <f>E38*F38</f>
        <v/>
      </c>
      <c r="H38" s="2" t="inlineStr">
        <is>
          <t>Чистая площадь стен без проёмов</t>
        </is>
      </c>
    </row>
    <row r="39">
      <c r="A39" s="2" t="n">
        <v>38</v>
      </c>
      <c r="B39" s="2" t="inlineStr">
        <is>
          <t>Зона выдачи</t>
        </is>
      </c>
      <c r="C39" s="2" t="inlineStr">
        <is>
          <t>Окраска стен</t>
        </is>
      </c>
      <c r="D39" s="2" t="inlineStr">
        <is>
          <t>м²</t>
        </is>
      </c>
      <c r="E39" s="3" t="n">
        <v>29.56</v>
      </c>
      <c r="F39" s="3" t="n">
        <v>450</v>
      </c>
      <c r="G39" s="3">
        <f>E39*F39</f>
        <v/>
      </c>
      <c r="H39" s="2" t="inlineStr">
        <is>
          <t>Чистая площадь стен без проёмов</t>
        </is>
      </c>
    </row>
    <row r="40">
      <c r="A40" s="2" t="n">
        <v>39</v>
      </c>
      <c r="B40" s="2" t="inlineStr">
        <is>
          <t>Зона выдачи</t>
        </is>
      </c>
      <c r="C40" s="2" t="inlineStr">
        <is>
          <t>Устройство пола</t>
        </is>
      </c>
      <c r="D40" s="2" t="inlineStr">
        <is>
          <t>м²</t>
        </is>
      </c>
      <c r="E40" s="3" t="n">
        <v>8.58</v>
      </c>
      <c r="F40" s="3" t="n">
        <v>1700</v>
      </c>
      <c r="G40" s="3">
        <f>E40*F40</f>
        <v/>
      </c>
      <c r="H40" s="2" t="inlineStr">
        <is>
          <t>По площади помещения</t>
        </is>
      </c>
    </row>
    <row r="41">
      <c r="A41" s="2" t="n">
        <v>40</v>
      </c>
      <c r="B41" s="2" t="inlineStr">
        <is>
          <t>Зона выдачи</t>
        </is>
      </c>
      <c r="C41" s="2" t="inlineStr">
        <is>
          <t>Отделка потолка</t>
        </is>
      </c>
      <c r="D41" s="2" t="inlineStr">
        <is>
          <t>м²</t>
        </is>
      </c>
      <c r="E41" s="3" t="n">
        <v>8.58</v>
      </c>
      <c r="F41" s="3" t="n">
        <v>650</v>
      </c>
      <c r="G41" s="3">
        <f>E41*F41</f>
        <v/>
      </c>
      <c r="H41" s="2" t="inlineStr">
        <is>
          <t>По площади помещения</t>
        </is>
      </c>
    </row>
    <row r="42">
      <c r="A42" s="2" t="n">
        <v>41</v>
      </c>
      <c r="B42" s="2" t="inlineStr">
        <is>
          <t>Зона выдачи</t>
        </is>
      </c>
      <c r="C42" s="2" t="inlineStr">
        <is>
          <t>Монтаж плинтуса</t>
        </is>
      </c>
      <c r="D42" s="2" t="inlineStr">
        <is>
          <t>м</t>
        </is>
      </c>
      <c r="E42" s="3" t="n">
        <v>10.6</v>
      </c>
      <c r="F42" s="3" t="n">
        <v>350</v>
      </c>
      <c r="G42" s="3">
        <f>E42*F42</f>
        <v/>
      </c>
      <c r="H42" s="2" t="inlineStr">
        <is>
          <t>Периметр минус ширина дверных проёмов</t>
        </is>
      </c>
    </row>
    <row r="43">
      <c r="A43" s="2" t="n">
        <v>42</v>
      </c>
      <c r="B43" s="2" t="inlineStr">
        <is>
          <t>Зона выдачи</t>
        </is>
      </c>
      <c r="C43" s="2" t="inlineStr">
        <is>
          <t>Установка окон</t>
        </is>
      </c>
      <c r="D43" s="2" t="inlineStr">
        <is>
          <t>шт.</t>
        </is>
      </c>
      <c r="E43" s="3" t="n">
        <v>1</v>
      </c>
      <c r="F43" s="3" t="n">
        <v>9000</v>
      </c>
      <c r="G43" s="3">
        <f>E43*F43</f>
        <v/>
      </c>
      <c r="H43" s="2" t="inlineStr">
        <is>
          <t>По количеству окон помещения</t>
        </is>
      </c>
    </row>
    <row r="44">
      <c r="A44" s="2" t="n">
        <v>43</v>
      </c>
      <c r="B44" s="2" t="inlineStr">
        <is>
          <t>Весь объект</t>
        </is>
      </c>
      <c r="C44" s="2" t="inlineStr">
        <is>
          <t>Установка дверей</t>
        </is>
      </c>
      <c r="D44" s="2" t="inlineStr">
        <is>
          <t>шт.</t>
        </is>
      </c>
      <c r="E44" s="3" t="n">
        <v>8</v>
      </c>
      <c r="F44" s="3" t="n">
        <v>7000</v>
      </c>
      <c r="G44" s="3">
        <f>E44*F44</f>
        <v/>
      </c>
      <c r="H44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2026-07-19T00:22:06Z</dcterms:created>
  <dcterms:modified xmlns:dcterms="http://purl.org/dc/terms/" xmlns:xsi="http://www.w3.org/2001/XMLSchema-instance" xsi:type="dcterms:W3CDTF">2026-07-19T00:22:06Z</dcterms:modified>
</cp:coreProperties>
</file>